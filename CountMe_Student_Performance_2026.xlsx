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7BFB0E95-53C8-4B1D-A196-7E850652992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1" i="1" l="1"/>
  <c r="L31" i="1"/>
  <c r="M31" i="1" s="1"/>
  <c r="N30" i="1"/>
  <c r="L30" i="1"/>
  <c r="M30" i="1" s="1"/>
  <c r="N29" i="1"/>
  <c r="L29" i="1"/>
  <c r="M29" i="1" s="1"/>
  <c r="N28" i="1"/>
  <c r="L28" i="1"/>
  <c r="M28" i="1" s="1"/>
  <c r="N27" i="1"/>
  <c r="L27" i="1"/>
  <c r="M27" i="1" s="1"/>
  <c r="N26" i="1"/>
  <c r="L26" i="1"/>
  <c r="M26" i="1" s="1"/>
  <c r="N25" i="1"/>
  <c r="L25" i="1"/>
  <c r="M25" i="1" s="1"/>
  <c r="N24" i="1"/>
  <c r="L24" i="1"/>
  <c r="M24" i="1" s="1"/>
  <c r="N23" i="1"/>
  <c r="L23" i="1"/>
  <c r="M23" i="1" s="1"/>
  <c r="N22" i="1"/>
  <c r="L22" i="1"/>
  <c r="M22" i="1" s="1"/>
  <c r="N21" i="1"/>
  <c r="L21" i="1"/>
  <c r="M21" i="1" s="1"/>
  <c r="N20" i="1"/>
  <c r="L20" i="1"/>
  <c r="M20" i="1" s="1"/>
  <c r="N19" i="1"/>
  <c r="L19" i="1"/>
  <c r="M19" i="1" s="1"/>
  <c r="N18" i="1"/>
  <c r="L18" i="1"/>
  <c r="M18" i="1" s="1"/>
  <c r="N17" i="1"/>
  <c r="L17" i="1"/>
  <c r="M17" i="1" s="1"/>
  <c r="N16" i="1"/>
  <c r="L16" i="1"/>
  <c r="M16" i="1" s="1"/>
  <c r="N15" i="1"/>
  <c r="L15" i="1"/>
  <c r="M15" i="1" s="1"/>
  <c r="N14" i="1"/>
  <c r="L14" i="1"/>
  <c r="M14" i="1" s="1"/>
  <c r="N13" i="1"/>
  <c r="L13" i="1"/>
  <c r="M13" i="1" s="1"/>
  <c r="N12" i="1"/>
  <c r="L12" i="1"/>
  <c r="M12" i="1" s="1"/>
  <c r="N11" i="1"/>
  <c r="L11" i="1"/>
  <c r="M11" i="1" s="1"/>
  <c r="N10" i="1"/>
  <c r="L10" i="1"/>
  <c r="M10" i="1" s="1"/>
  <c r="N9" i="1"/>
  <c r="L9" i="1"/>
  <c r="M9" i="1" s="1"/>
  <c r="N8" i="1"/>
  <c r="L8" i="1"/>
  <c r="M8" i="1" s="1"/>
  <c r="N7" i="1"/>
  <c r="L7" i="1"/>
  <c r="M7" i="1" s="1"/>
  <c r="N6" i="1"/>
  <c r="L6" i="1"/>
  <c r="M6" i="1" s="1"/>
  <c r="N5" i="1"/>
  <c r="M5" i="1"/>
  <c r="L5" i="1"/>
  <c r="N4" i="1"/>
  <c r="L4" i="1"/>
  <c r="M4" i="1" s="1"/>
  <c r="N3" i="1"/>
  <c r="L3" i="1"/>
  <c r="M3" i="1" s="1"/>
  <c r="N2" i="1"/>
  <c r="L2" i="1"/>
  <c r="M2" i="1" s="1"/>
</calcChain>
</file>

<file path=xl/sharedStrings.xml><?xml version="1.0" encoding="utf-8"?>
<sst xmlns="http://schemas.openxmlformats.org/spreadsheetml/2006/main" count="134" uniqueCount="77">
  <si>
    <t>Student_ID</t>
  </si>
  <si>
    <t>Student_Name</t>
  </si>
  <si>
    <t>Grade</t>
  </si>
  <si>
    <t>Gender</t>
  </si>
  <si>
    <t>Subject</t>
  </si>
  <si>
    <t>Pre_Test</t>
  </si>
  <si>
    <t>Mid_Test</t>
  </si>
  <si>
    <t>Post_Test</t>
  </si>
  <si>
    <t>Attendance (%)</t>
  </si>
  <si>
    <t>Homework Completion (%)</t>
  </si>
  <si>
    <t>Study_Hours_Per_Week</t>
  </si>
  <si>
    <t>Improvement</t>
  </si>
  <si>
    <t>Performance</t>
  </si>
  <si>
    <t>Learning_Outcome</t>
  </si>
  <si>
    <t>S001</t>
  </si>
  <si>
    <t>M</t>
  </si>
  <si>
    <t>Mathematics</t>
  </si>
  <si>
    <t>S002</t>
  </si>
  <si>
    <t>F</t>
  </si>
  <si>
    <t>S003</t>
  </si>
  <si>
    <t>S004</t>
  </si>
  <si>
    <t>S005</t>
  </si>
  <si>
    <t>S006</t>
  </si>
  <si>
    <t>S007</t>
  </si>
  <si>
    <t>S008</t>
  </si>
  <si>
    <t>Gita Maharani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</si>
  <si>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</si>
  <si>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</si>
  <si>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</si>
  <si>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</si>
  <si>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</si>
  <si>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</si>
  <si>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</si>
  <si>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</si>
  <si>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</si>
  <si>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Putra Aditya</t>
  </si>
  <si>
    <t>S018</t>
  </si>
  <si>
    <t>S019</t>
  </si>
  <si>
    <t>S020</t>
  </si>
  <si>
    <t>S021</t>
  </si>
  <si>
    <t>S022</t>
  </si>
  <si>
    <t>Vania Maharani</t>
  </si>
  <si>
    <t>S023</t>
  </si>
  <si>
    <t>S024</t>
  </si>
  <si>
    <t>S025</t>
  </si>
  <si>
    <t>Yoga Pradana</t>
  </si>
  <si>
    <t>S026</t>
  </si>
  <si>
    <t>S027</t>
  </si>
  <si>
    <t>Andika Wijaya</t>
  </si>
  <si>
    <t>S028</t>
  </si>
  <si>
    <t>S029</t>
  </si>
  <si>
    <t>S030</t>
  </si>
  <si>
    <t xml:space="preserve">Aditya </t>
  </si>
  <si>
    <t>Alya</t>
  </si>
  <si>
    <t xml:space="preserve"> Natalia</t>
  </si>
  <si>
    <t>Bintang</t>
  </si>
  <si>
    <t xml:space="preserve">Daffa </t>
  </si>
  <si>
    <t>Elvin</t>
  </si>
  <si>
    <t>Putri</t>
  </si>
  <si>
    <t>Bulan</t>
  </si>
  <si>
    <t xml:space="preserve">Intan </t>
  </si>
  <si>
    <t>Jovan</t>
  </si>
  <si>
    <t xml:space="preserve">Keisya </t>
  </si>
  <si>
    <t>Lukman</t>
  </si>
  <si>
    <t xml:space="preserve"> Salsabila</t>
  </si>
  <si>
    <t>Nana</t>
  </si>
  <si>
    <t xml:space="preserve">Olivia </t>
  </si>
  <si>
    <t>Quenza</t>
  </si>
  <si>
    <t xml:space="preserve">Rizky </t>
  </si>
  <si>
    <t>Syifa</t>
  </si>
  <si>
    <t>Teguh</t>
  </si>
  <si>
    <t>Wahyuni</t>
  </si>
  <si>
    <t>Sari</t>
  </si>
  <si>
    <t>Silfia</t>
  </si>
  <si>
    <t>Maharani</t>
  </si>
  <si>
    <t>Cahyani</t>
  </si>
  <si>
    <t>Dinda Ayuning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</si>
</sst>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B31" sqref="B31"/>
    </sheetView>
  </sheetViews>
  <sheetFormatPr defaultRowHeight="14.5" x14ac:dyDescent="0.35"/>
  <cols>
    <col min="1" max="1" width="12.1796875" customWidth="1"/>
    <col min="2" max="2" width="16.1796875" customWidth="1"/>
    <col min="3" max="3" width="7.36328125" customWidth="1"/>
    <col min="5" max="5" width="11.90625" customWidth="1"/>
    <col min="9" max="9" width="15.54296875" customWidth="1"/>
    <col min="10" max="10" width="23.90625" customWidth="1"/>
    <col min="11" max="11" width="21.54296875" customWidth="1"/>
    <col min="12" max="12" width="12.81640625" customWidth="1"/>
    <col min="13" max="13" width="11.08984375" customWidth="1"/>
    <col min="14" max="14" width="13.36328125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14</v>
      </c>
      <c r="B2" t="s">
        <v>52</v>
      </c>
      <c r="C2">
        <v>10</v>
      </c>
      <c r="D2" t="s">
        <v>15</v>
      </c>
      <c r="E2" t="s">
        <v>16</v>
      </c>
      <c r="F2">
        <v>62</v>
      </c>
      <c r="G2">
        <v>72</v>
      </c>
      <c r="H2">
        <v>81</v>
      </c>
      <c r="I2">
        <v>100</v>
      </c>
      <c r="J2">
        <v>100</v>
      </c>
      <c r="K2">
        <v>4</v>
      </c>
      <c r="L2">
        <f t="shared" ref="L2:L31" si="0">H2-F2</f>
        <v>19</v>
      </c>
      <c r="M2" t="str">
        <f t="shared" ref="M2:M31" si="1">IF(L2&gt;=15,"Excellent",IF(L2&gt;=10,"Good","Needs Improvement"))</f>
        <v>Excellent</v>
      </c>
      <c r="N2" t="str">
        <f t="shared" ref="N2:N31" si="2">IF(H2&gt;=90,"Outstanding",IF(H2&gt;=80,"Very Good","Good"))</f>
        <v>Very Good</v>
      </c>
    </row>
    <row r="3" spans="1:14" x14ac:dyDescent="0.35">
      <c r="A3" t="s">
        <v>17</v>
      </c>
      <c r="B3" t="s">
        <v>53</v>
      </c>
      <c r="C3">
        <v>10</v>
      </c>
      <c r="D3" t="s">
        <v>18</v>
      </c>
      <c r="E3" t="s">
        <v>16</v>
      </c>
      <c r="F3">
        <v>71</v>
      </c>
      <c r="G3">
        <v>80</v>
      </c>
      <c r="H3">
        <v>89</v>
      </c>
      <c r="I3">
        <v>100</v>
      </c>
      <c r="J3">
        <v>100</v>
      </c>
      <c r="K3">
        <v>4</v>
      </c>
      <c r="L3">
        <f t="shared" si="0"/>
        <v>18</v>
      </c>
      <c r="M3" t="str">
        <f t="shared" si="1"/>
        <v>Excellent</v>
      </c>
      <c r="N3" t="str">
        <f t="shared" si="2"/>
        <v>Very Good</v>
      </c>
    </row>
    <row r="4" spans="1:14" x14ac:dyDescent="0.35">
      <c r="A4" t="s">
        <v>19</v>
      </c>
      <c r="B4" t="s">
        <v>55</v>
      </c>
      <c r="C4">
        <v>10</v>
      </c>
      <c r="D4" t="s">
        <v>15</v>
      </c>
      <c r="E4" t="s">
        <v>16</v>
      </c>
      <c r="F4">
        <v>58</v>
      </c>
      <c r="G4">
        <v>69</v>
      </c>
      <c r="H4">
        <v>77</v>
      </c>
      <c r="I4">
        <v>92</v>
      </c>
      <c r="J4">
        <v>90</v>
      </c>
      <c r="K4">
        <v>4</v>
      </c>
      <c r="L4">
        <f t="shared" si="0"/>
        <v>19</v>
      </c>
      <c r="M4" t="str">
        <f t="shared" si="1"/>
        <v>Excellent</v>
      </c>
      <c r="N4" t="str">
        <f t="shared" si="2"/>
        <v>Good</v>
      </c>
    </row>
    <row r="5" spans="1:14" x14ac:dyDescent="0.35">
      <c r="A5" t="s">
        <v>20</v>
      </c>
      <c r="B5" t="s">
        <v>54</v>
      </c>
      <c r="C5">
        <v>10</v>
      </c>
      <c r="D5" t="s">
        <v>18</v>
      </c>
      <c r="E5" t="s">
        <v>16</v>
      </c>
      <c r="F5">
        <v>75</v>
      </c>
      <c r="G5">
        <v>83</v>
      </c>
      <c r="H5">
        <v>91</v>
      </c>
      <c r="I5">
        <v>100</v>
      </c>
      <c r="J5">
        <v>100</v>
      </c>
      <c r="K5">
        <v>4</v>
      </c>
      <c r="L5">
        <f t="shared" si="0"/>
        <v>16</v>
      </c>
      <c r="M5" t="str">
        <f t="shared" si="1"/>
        <v>Excellent</v>
      </c>
      <c r="N5" t="str">
        <f t="shared" si="2"/>
        <v>Outstanding</v>
      </c>
    </row>
    <row r="6" spans="1:14" x14ac:dyDescent="0.35">
      <c r="A6" t="s">
        <v>21</v>
      </c>
      <c r="B6" t="s">
        <v>56</v>
      </c>
      <c r="C6">
        <v>10</v>
      </c>
      <c r="D6" t="s">
        <v>15</v>
      </c>
      <c r="E6" t="s">
        <v>16</v>
      </c>
      <c r="F6">
        <v>64</v>
      </c>
      <c r="G6">
        <v>74</v>
      </c>
      <c r="H6">
        <v>82</v>
      </c>
      <c r="I6">
        <v>96</v>
      </c>
      <c r="J6">
        <v>95</v>
      </c>
      <c r="K6">
        <v>4</v>
      </c>
      <c r="L6">
        <f t="shared" si="0"/>
        <v>18</v>
      </c>
      <c r="M6" t="str">
        <f t="shared" si="1"/>
        <v>Excellent</v>
      </c>
      <c r="N6" t="str">
        <f t="shared" si="2"/>
        <v>Very Good</v>
      </c>
    </row>
    <row r="7" spans="1:14" x14ac:dyDescent="0.35">
      <c r="A7" t="s">
        <v>22</v>
      </c>
      <c r="B7" t="s">
        <v>57</v>
      </c>
      <c r="C7">
        <v>10</v>
      </c>
      <c r="D7" t="s">
        <v>18</v>
      </c>
      <c r="E7" t="s">
        <v>16</v>
      </c>
      <c r="F7">
        <v>81</v>
      </c>
      <c r="G7">
        <v>87</v>
      </c>
      <c r="H7">
        <v>95</v>
      </c>
      <c r="I7">
        <v>100</v>
      </c>
      <c r="J7">
        <v>100</v>
      </c>
      <c r="K7">
        <v>4</v>
      </c>
      <c r="L7">
        <f t="shared" si="0"/>
        <v>14</v>
      </c>
      <c r="M7" t="str">
        <f t="shared" si="1"/>
        <v>Good</v>
      </c>
      <c r="N7" t="str">
        <f t="shared" si="2"/>
        <v>Outstanding</v>
      </c>
    </row>
    <row r="8" spans="1:14" x14ac:dyDescent="0.35">
      <c r="A8" t="s">
        <v>23</v>
      </c>
      <c r="B8" t="s">
        <v>58</v>
      </c>
      <c r="C8">
        <v>10</v>
      </c>
      <c r="D8" t="s">
        <v>15</v>
      </c>
      <c r="E8" t="s">
        <v>16</v>
      </c>
      <c r="F8">
        <v>69</v>
      </c>
      <c r="G8">
        <v>78</v>
      </c>
      <c r="H8">
        <v>86</v>
      </c>
      <c r="I8">
        <v>96</v>
      </c>
      <c r="J8">
        <v>95</v>
      </c>
      <c r="K8">
        <v>4</v>
      </c>
      <c r="L8">
        <f t="shared" si="0"/>
        <v>17</v>
      </c>
      <c r="M8" t="str">
        <f t="shared" si="1"/>
        <v>Excellent</v>
      </c>
      <c r="N8" t="str">
        <f t="shared" si="2"/>
        <v>Very Good</v>
      </c>
    </row>
    <row r="9" spans="1:14" x14ac:dyDescent="0.35">
      <c r="A9" t="s">
        <v>24</v>
      </c>
      <c r="B9" t="s">
        <v>25</v>
      </c>
      <c r="C9">
        <v>10</v>
      </c>
      <c r="D9" t="s">
        <v>18</v>
      </c>
      <c r="E9" t="s">
        <v>16</v>
      </c>
      <c r="F9">
        <v>67</v>
      </c>
      <c r="G9">
        <v>76</v>
      </c>
      <c r="H9">
        <v>84</v>
      </c>
      <c r="I9">
        <v>92</v>
      </c>
      <c r="J9">
        <v>90</v>
      </c>
      <c r="K9">
        <v>4</v>
      </c>
      <c r="L9">
        <f t="shared" si="0"/>
        <v>17</v>
      </c>
      <c r="M9" t="str">
        <f t="shared" si="1"/>
        <v>Excellent</v>
      </c>
      <c r="N9" t="str">
        <f t="shared" si="2"/>
        <v>Very Good</v>
      </c>
    </row>
    <row r="10" spans="1:14" x14ac:dyDescent="0.35">
      <c r="A10" t="s">
        <v>26</v>
      </c>
      <c r="B10" t="s">
        <v>59</v>
      </c>
      <c r="C10">
        <v>10</v>
      </c>
      <c r="D10" t="s">
        <v>15</v>
      </c>
      <c r="E10" t="s">
        <v>16</v>
      </c>
      <c r="F10">
        <v>60</v>
      </c>
      <c r="G10">
        <v>70</v>
      </c>
      <c r="H10">
        <v>79</v>
      </c>
      <c r="I10">
        <v>88</v>
      </c>
      <c r="J10">
        <v>85</v>
      </c>
      <c r="K10">
        <v>4</v>
      </c>
      <c r="L10">
        <f t="shared" si="0"/>
        <v>19</v>
      </c>
      <c r="M10" t="str">
        <f t="shared" si="1"/>
        <v>Excellent</v>
      </c>
      <c r="N10" t="str">
        <f t="shared" si="2"/>
        <v>Good</v>
      </c>
    </row>
    <row r="11" spans="1:14" x14ac:dyDescent="0.35">
      <c r="A11" t="s">
        <v>27</v>
      </c>
      <c r="B11" t="s">
        <v>60</v>
      </c>
      <c r="C11">
        <v>10</v>
      </c>
      <c r="D11" t="s">
        <v>18</v>
      </c>
      <c r="E11" t="s">
        <v>16</v>
      </c>
      <c r="F11">
        <v>78</v>
      </c>
      <c r="G11">
        <v>86</v>
      </c>
      <c r="H11">
        <v>94</v>
      </c>
      <c r="I11">
        <v>100</v>
      </c>
      <c r="J11">
        <v>100</v>
      </c>
      <c r="K11">
        <v>4</v>
      </c>
      <c r="L11">
        <f t="shared" si="0"/>
        <v>16</v>
      </c>
      <c r="M11" t="str">
        <f t="shared" si="1"/>
        <v>Excellent</v>
      </c>
      <c r="N11" t="str">
        <f t="shared" si="2"/>
        <v>Outstanding</v>
      </c>
    </row>
    <row r="12" spans="1:14" x14ac:dyDescent="0.35">
      <c r="A12" t="s">
        <v>28</v>
      </c>
      <c r="B12" t="s">
        <v>61</v>
      </c>
      <c r="C12">
        <v>11</v>
      </c>
      <c r="D12" t="s">
        <v>15</v>
      </c>
      <c r="E12" t="s">
        <v>16</v>
      </c>
      <c r="F12">
        <v>65</v>
      </c>
      <c r="G12">
        <v>75</v>
      </c>
      <c r="H12">
        <v>84</v>
      </c>
      <c r="I12">
        <v>96</v>
      </c>
      <c r="J12">
        <v>95</v>
      </c>
      <c r="K12">
        <v>4</v>
      </c>
      <c r="L12">
        <f t="shared" si="0"/>
        <v>19</v>
      </c>
      <c r="M12" t="str">
        <f t="shared" si="1"/>
        <v>Excellent</v>
      </c>
      <c r="N12" t="str">
        <f t="shared" si="2"/>
        <v>Very Good</v>
      </c>
    </row>
    <row r="13" spans="1:14" x14ac:dyDescent="0.35">
      <c r="A13" t="s">
        <v>29</v>
      </c>
      <c r="B13" t="s">
        <v>62</v>
      </c>
      <c r="C13">
        <v>11</v>
      </c>
      <c r="D13" t="s">
        <v>18</v>
      </c>
      <c r="E13" t="s">
        <v>16</v>
      </c>
      <c r="F13">
        <v>74</v>
      </c>
      <c r="G13">
        <v>83</v>
      </c>
      <c r="H13">
        <v>91</v>
      </c>
      <c r="I13">
        <v>100</v>
      </c>
      <c r="J13">
        <v>100</v>
      </c>
      <c r="K13">
        <v>4</v>
      </c>
      <c r="L13">
        <f t="shared" si="0"/>
        <v>17</v>
      </c>
      <c r="M13" t="str">
        <f t="shared" si="1"/>
        <v>Excellent</v>
      </c>
      <c r="N13" t="str">
        <f t="shared" si="2"/>
        <v>Outstanding</v>
      </c>
    </row>
    <row r="14" spans="1:14" x14ac:dyDescent="0.35">
      <c r="A14" t="s">
        <v>30</v>
      </c>
      <c r="B14" t="s">
        <v>63</v>
      </c>
      <c r="C14">
        <v>11</v>
      </c>
      <c r="D14" t="s">
        <v>15</v>
      </c>
      <c r="E14" t="s">
        <v>16</v>
      </c>
      <c r="F14">
        <v>63</v>
      </c>
      <c r="G14">
        <v>73</v>
      </c>
      <c r="H14">
        <v>81</v>
      </c>
      <c r="I14">
        <v>92</v>
      </c>
      <c r="J14">
        <v>90</v>
      </c>
      <c r="K14">
        <v>4</v>
      </c>
      <c r="L14">
        <f t="shared" si="0"/>
        <v>18</v>
      </c>
      <c r="M14" t="str">
        <f t="shared" si="1"/>
        <v>Excellent</v>
      </c>
      <c r="N14" t="str">
        <f t="shared" si="2"/>
        <v>Very Good</v>
      </c>
    </row>
    <row r="15" spans="1:14" x14ac:dyDescent="0.35">
      <c r="A15" t="s">
        <v>31</v>
      </c>
      <c r="B15" t="s">
        <v>64</v>
      </c>
      <c r="C15">
        <v>11</v>
      </c>
      <c r="D15" t="s">
        <v>18</v>
      </c>
      <c r="E15" t="s">
        <v>16</v>
      </c>
      <c r="F15">
        <v>82</v>
      </c>
      <c r="G15">
        <v>89</v>
      </c>
      <c r="H15">
        <v>96</v>
      </c>
      <c r="I15">
        <v>100</v>
      </c>
      <c r="J15">
        <v>100</v>
      </c>
      <c r="K15">
        <v>4</v>
      </c>
      <c r="L15">
        <f t="shared" si="0"/>
        <v>14</v>
      </c>
      <c r="M15" t="str">
        <f t="shared" si="1"/>
        <v>Good</v>
      </c>
      <c r="N15" t="str">
        <f t="shared" si="2"/>
        <v>Outstanding</v>
      </c>
    </row>
    <row r="16" spans="1:14" x14ac:dyDescent="0.35">
      <c r="A16" t="s">
        <v>32</v>
      </c>
      <c r="B16" t="s">
        <v>65</v>
      </c>
      <c r="C16">
        <v>11</v>
      </c>
      <c r="D16" t="s">
        <v>15</v>
      </c>
      <c r="E16" t="s">
        <v>16</v>
      </c>
      <c r="F16">
        <v>70</v>
      </c>
      <c r="G16">
        <v>79</v>
      </c>
      <c r="H16">
        <v>87</v>
      </c>
      <c r="I16">
        <v>96</v>
      </c>
      <c r="J16">
        <v>95</v>
      </c>
      <c r="K16">
        <v>4</v>
      </c>
      <c r="L16">
        <f t="shared" si="0"/>
        <v>17</v>
      </c>
      <c r="M16" t="str">
        <f t="shared" si="1"/>
        <v>Excellent</v>
      </c>
      <c r="N16" t="str">
        <f t="shared" si="2"/>
        <v>Very Good</v>
      </c>
    </row>
    <row r="17" spans="1:14" x14ac:dyDescent="0.35">
      <c r="A17" t="s">
        <v>33</v>
      </c>
      <c r="B17" t="s">
        <v>66</v>
      </c>
      <c r="C17">
        <v>11</v>
      </c>
      <c r="D17" t="s">
        <v>18</v>
      </c>
      <c r="E17" t="s">
        <v>16</v>
      </c>
      <c r="F17">
        <v>76</v>
      </c>
      <c r="G17">
        <v>84</v>
      </c>
      <c r="H17">
        <v>92</v>
      </c>
      <c r="I17">
        <v>100</v>
      </c>
      <c r="J17">
        <v>100</v>
      </c>
      <c r="K17">
        <v>4</v>
      </c>
      <c r="L17">
        <f t="shared" si="0"/>
        <v>16</v>
      </c>
      <c r="M17" t="str">
        <f t="shared" si="1"/>
        <v>Excellent</v>
      </c>
      <c r="N17" t="str">
        <f t="shared" si="2"/>
        <v>Outstanding</v>
      </c>
    </row>
    <row r="18" spans="1:14" x14ac:dyDescent="0.35">
      <c r="A18" t="s">
        <v>34</v>
      </c>
      <c r="B18" t="s">
        <v>35</v>
      </c>
      <c r="C18">
        <v>11</v>
      </c>
      <c r="D18" t="s">
        <v>15</v>
      </c>
      <c r="E18" t="s">
        <v>16</v>
      </c>
      <c r="F18">
        <v>61</v>
      </c>
      <c r="G18">
        <v>71</v>
      </c>
      <c r="H18">
        <v>80</v>
      </c>
      <c r="I18">
        <v>88</v>
      </c>
      <c r="J18">
        <v>85</v>
      </c>
      <c r="K18">
        <v>4</v>
      </c>
      <c r="L18">
        <f t="shared" si="0"/>
        <v>19</v>
      </c>
      <c r="M18" t="str">
        <f t="shared" si="1"/>
        <v>Excellent</v>
      </c>
      <c r="N18" t="str">
        <f t="shared" si="2"/>
        <v>Very Good</v>
      </c>
    </row>
    <row r="19" spans="1:14" x14ac:dyDescent="0.35">
      <c r="A19" t="s">
        <v>36</v>
      </c>
      <c r="B19" t="s">
        <v>67</v>
      </c>
      <c r="C19">
        <v>11</v>
      </c>
      <c r="D19" t="s">
        <v>18</v>
      </c>
      <c r="E19" t="s">
        <v>16</v>
      </c>
      <c r="F19">
        <v>79</v>
      </c>
      <c r="G19">
        <v>87</v>
      </c>
      <c r="H19">
        <v>94</v>
      </c>
      <c r="I19">
        <v>100</v>
      </c>
      <c r="J19">
        <v>100</v>
      </c>
      <c r="K19">
        <v>4</v>
      </c>
      <c r="L19">
        <f t="shared" si="0"/>
        <v>15</v>
      </c>
      <c r="M19" t="str">
        <f t="shared" si="1"/>
        <v>Excellent</v>
      </c>
      <c r="N19" t="str">
        <f t="shared" si="2"/>
        <v>Outstanding</v>
      </c>
    </row>
    <row r="20" spans="1:14" x14ac:dyDescent="0.35">
      <c r="A20" t="s">
        <v>37</v>
      </c>
      <c r="B20" t="s">
        <v>68</v>
      </c>
      <c r="C20">
        <v>11</v>
      </c>
      <c r="D20" t="s">
        <v>15</v>
      </c>
      <c r="E20" t="s">
        <v>16</v>
      </c>
      <c r="F20">
        <v>68</v>
      </c>
      <c r="G20">
        <v>77</v>
      </c>
      <c r="H20">
        <v>85</v>
      </c>
      <c r="I20">
        <v>96</v>
      </c>
      <c r="J20">
        <v>95</v>
      </c>
      <c r="K20">
        <v>4</v>
      </c>
      <c r="L20">
        <f t="shared" si="0"/>
        <v>17</v>
      </c>
      <c r="M20" t="str">
        <f t="shared" si="1"/>
        <v>Excellent</v>
      </c>
      <c r="N20" t="str">
        <f t="shared" si="2"/>
        <v>Very Good</v>
      </c>
    </row>
    <row r="21" spans="1:14" x14ac:dyDescent="0.35">
      <c r="A21" t="s">
        <v>38</v>
      </c>
      <c r="B21" t="s">
        <v>69</v>
      </c>
      <c r="C21">
        <v>11</v>
      </c>
      <c r="D21" t="s">
        <v>18</v>
      </c>
      <c r="E21" t="s">
        <v>16</v>
      </c>
      <c r="F21">
        <v>73</v>
      </c>
      <c r="G21">
        <v>82</v>
      </c>
      <c r="H21">
        <v>90</v>
      </c>
      <c r="I21">
        <v>100</v>
      </c>
      <c r="J21">
        <v>100</v>
      </c>
      <c r="K21">
        <v>4</v>
      </c>
      <c r="L21">
        <f t="shared" si="0"/>
        <v>17</v>
      </c>
      <c r="M21" t="str">
        <f t="shared" si="1"/>
        <v>Excellent</v>
      </c>
      <c r="N21" t="str">
        <f t="shared" si="2"/>
        <v>Outstanding</v>
      </c>
    </row>
    <row r="22" spans="1:14" x14ac:dyDescent="0.35">
      <c r="A22" t="s">
        <v>39</v>
      </c>
      <c r="B22" t="s">
        <v>70</v>
      </c>
      <c r="C22">
        <v>12</v>
      </c>
      <c r="D22" t="s">
        <v>15</v>
      </c>
      <c r="E22" t="s">
        <v>16</v>
      </c>
      <c r="F22">
        <v>66</v>
      </c>
      <c r="G22">
        <v>76</v>
      </c>
      <c r="H22">
        <v>84</v>
      </c>
      <c r="I22">
        <v>96</v>
      </c>
      <c r="J22">
        <v>95</v>
      </c>
      <c r="K22">
        <v>4</v>
      </c>
      <c r="L22">
        <f t="shared" si="0"/>
        <v>18</v>
      </c>
      <c r="M22" t="str">
        <f t="shared" si="1"/>
        <v>Excellent</v>
      </c>
      <c r="N22" t="str">
        <f t="shared" si="2"/>
        <v>Very Good</v>
      </c>
    </row>
    <row r="23" spans="1:14" x14ac:dyDescent="0.35">
      <c r="A23" t="s">
        <v>40</v>
      </c>
      <c r="B23" t="s">
        <v>41</v>
      </c>
      <c r="C23">
        <v>12</v>
      </c>
      <c r="D23" t="s">
        <v>18</v>
      </c>
      <c r="E23" t="s">
        <v>16</v>
      </c>
      <c r="F23">
        <v>83</v>
      </c>
      <c r="G23">
        <v>90</v>
      </c>
      <c r="H23">
        <v>97</v>
      </c>
      <c r="I23">
        <v>100</v>
      </c>
      <c r="J23">
        <v>100</v>
      </c>
      <c r="K23">
        <v>4</v>
      </c>
      <c r="L23">
        <f t="shared" si="0"/>
        <v>14</v>
      </c>
      <c r="M23" t="str">
        <f t="shared" si="1"/>
        <v>Good</v>
      </c>
      <c r="N23" t="str">
        <f t="shared" si="2"/>
        <v>Outstanding</v>
      </c>
    </row>
    <row r="24" spans="1:14" x14ac:dyDescent="0.35">
      <c r="A24" t="s">
        <v>42</v>
      </c>
      <c r="B24" t="s">
        <v>71</v>
      </c>
      <c r="C24">
        <v>12</v>
      </c>
      <c r="D24" t="s">
        <v>15</v>
      </c>
      <c r="E24" t="s">
        <v>16</v>
      </c>
      <c r="F24">
        <v>71</v>
      </c>
      <c r="G24">
        <v>80</v>
      </c>
      <c r="H24">
        <v>88</v>
      </c>
      <c r="I24">
        <v>96</v>
      </c>
      <c r="J24">
        <v>95</v>
      </c>
      <c r="K24">
        <v>4</v>
      </c>
      <c r="L24">
        <f t="shared" si="0"/>
        <v>17</v>
      </c>
      <c r="M24" t="str">
        <f t="shared" si="1"/>
        <v>Excellent</v>
      </c>
      <c r="N24" t="str">
        <f t="shared" si="2"/>
        <v>Very Good</v>
      </c>
    </row>
    <row r="25" spans="1:14" x14ac:dyDescent="0.35">
      <c r="A25" t="s">
        <v>43</v>
      </c>
      <c r="B25" t="s">
        <v>72</v>
      </c>
      <c r="C25">
        <v>12</v>
      </c>
      <c r="D25" t="s">
        <v>18</v>
      </c>
      <c r="E25" t="s">
        <v>16</v>
      </c>
      <c r="F25">
        <v>77</v>
      </c>
      <c r="G25">
        <v>85</v>
      </c>
      <c r="H25">
        <v>93</v>
      </c>
      <c r="I25">
        <v>100</v>
      </c>
      <c r="J25">
        <v>100</v>
      </c>
      <c r="K25">
        <v>4</v>
      </c>
      <c r="L25">
        <f t="shared" si="0"/>
        <v>16</v>
      </c>
      <c r="M25" t="str">
        <f t="shared" si="1"/>
        <v>Excellent</v>
      </c>
      <c r="N25" t="str">
        <f t="shared" si="2"/>
        <v>Outstanding</v>
      </c>
    </row>
    <row r="26" spans="1:14" x14ac:dyDescent="0.35">
      <c r="A26" t="s">
        <v>44</v>
      </c>
      <c r="B26" t="s">
        <v>45</v>
      </c>
      <c r="C26">
        <v>12</v>
      </c>
      <c r="D26" t="s">
        <v>15</v>
      </c>
      <c r="E26" t="s">
        <v>16</v>
      </c>
      <c r="F26">
        <v>62</v>
      </c>
      <c r="G26">
        <v>72</v>
      </c>
      <c r="H26">
        <v>81</v>
      </c>
      <c r="I26">
        <v>92</v>
      </c>
      <c r="J26">
        <v>90</v>
      </c>
      <c r="K26">
        <v>4</v>
      </c>
      <c r="L26">
        <f t="shared" si="0"/>
        <v>19</v>
      </c>
      <c r="M26" t="str">
        <f t="shared" si="1"/>
        <v>Excellent</v>
      </c>
      <c r="N26" t="str">
        <f t="shared" si="2"/>
        <v>Very Good</v>
      </c>
    </row>
    <row r="27" spans="1:14" x14ac:dyDescent="0.35">
      <c r="A27" t="s">
        <v>46</v>
      </c>
      <c r="B27" t="s">
        <v>73</v>
      </c>
      <c r="C27">
        <v>12</v>
      </c>
      <c r="D27" t="s">
        <v>18</v>
      </c>
      <c r="E27" t="s">
        <v>16</v>
      </c>
      <c r="F27">
        <v>80</v>
      </c>
      <c r="G27">
        <v>88</v>
      </c>
      <c r="H27">
        <v>95</v>
      </c>
      <c r="I27">
        <v>100</v>
      </c>
      <c r="J27">
        <v>100</v>
      </c>
      <c r="K27">
        <v>4</v>
      </c>
      <c r="L27">
        <f t="shared" si="0"/>
        <v>15</v>
      </c>
      <c r="M27" t="str">
        <f t="shared" si="1"/>
        <v>Excellent</v>
      </c>
      <c r="N27" t="str">
        <f t="shared" si="2"/>
        <v>Outstanding</v>
      </c>
    </row>
    <row r="28" spans="1:14" x14ac:dyDescent="0.35">
      <c r="A28" t="s">
        <v>47</v>
      </c>
      <c r="B28" t="s">
        <v>48</v>
      </c>
      <c r="C28">
        <v>12</v>
      </c>
      <c r="D28" t="s">
        <v>15</v>
      </c>
      <c r="E28" t="s">
        <v>16</v>
      </c>
      <c r="F28">
        <v>69</v>
      </c>
      <c r="G28">
        <v>78</v>
      </c>
      <c r="H28">
        <v>86</v>
      </c>
      <c r="I28">
        <v>96</v>
      </c>
      <c r="J28">
        <v>95</v>
      </c>
      <c r="K28">
        <v>4</v>
      </c>
      <c r="L28">
        <f t="shared" si="0"/>
        <v>17</v>
      </c>
      <c r="M28" t="str">
        <f t="shared" si="1"/>
        <v>Excellent</v>
      </c>
      <c r="N28" t="str">
        <f t="shared" si="2"/>
        <v>Very Good</v>
      </c>
    </row>
    <row r="29" spans="1:14" x14ac:dyDescent="0.35">
      <c r="A29" t="s">
        <v>49</v>
      </c>
      <c r="B29" t="s">
        <v>74</v>
      </c>
      <c r="C29">
        <v>12</v>
      </c>
      <c r="D29" t="s">
        <v>18</v>
      </c>
      <c r="E29" t="s">
        <v>16</v>
      </c>
      <c r="F29">
        <v>75</v>
      </c>
      <c r="G29">
        <v>84</v>
      </c>
      <c r="H29">
        <v>92</v>
      </c>
      <c r="I29">
        <v>100</v>
      </c>
      <c r="J29">
        <v>100</v>
      </c>
      <c r="K29">
        <v>4</v>
      </c>
      <c r="L29">
        <f t="shared" si="0"/>
        <v>17</v>
      </c>
      <c r="M29" t="str">
        <f t="shared" si="1"/>
        <v>Excellent</v>
      </c>
      <c r="N29" t="str">
        <f t="shared" si="2"/>
        <v>Outstanding</v>
      </c>
    </row>
    <row r="30" spans="1:14" x14ac:dyDescent="0.35">
      <c r="A30" t="s">
        <v>50</v>
      </c>
      <c r="B30" t="s">
        <v>75</v>
      </c>
      <c r="C30">
        <v>12</v>
      </c>
      <c r="D30" t="s">
        <v>15</v>
      </c>
      <c r="E30" t="s">
        <v>16</v>
      </c>
      <c r="F30">
        <v>64</v>
      </c>
      <c r="G30">
        <v>74</v>
      </c>
      <c r="H30">
        <v>82</v>
      </c>
      <c r="I30">
        <v>92</v>
      </c>
      <c r="J30">
        <v>90</v>
      </c>
      <c r="K30">
        <v>4</v>
      </c>
      <c r="L30">
        <f t="shared" si="0"/>
        <v>18</v>
      </c>
      <c r="M30" t="str">
        <f t="shared" si="1"/>
        <v>Excellent</v>
      </c>
      <c r="N30" t="str">
        <f t="shared" si="2"/>
        <v>Very Good</v>
      </c>
    </row>
    <row r="31" spans="1:14" x14ac:dyDescent="0.35">
      <c r="A31" t="s">
        <v>51</v>
      </c>
      <c r="B31" t="s">
        <v>76</v>
      </c>
      <c r="C31">
        <v>12</v>
      </c>
      <c r="D31" t="s">
        <v>18</v>
      </c>
      <c r="E31" t="s">
        <v>16</v>
      </c>
      <c r="F31">
        <v>81</v>
      </c>
      <c r="G31">
        <v>89</v>
      </c>
      <c r="H31">
        <v>96</v>
      </c>
      <c r="I31">
        <v>100</v>
      </c>
      <c r="J31">
        <v>100</v>
      </c>
      <c r="K31">
        <v>4</v>
      </c>
      <c r="L31">
        <f t="shared" si="0"/>
        <v>15</v>
      </c>
      <c r="M31" t="str">
        <f t="shared" si="1"/>
        <v>Excellent</v>
      </c>
      <c r="N31" t="str">
        <f t="shared" si="2"/>
        <v>Outstanding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Mirah Dyana</cp:lastModifiedBy>
  <dcterms:created xsi:type="dcterms:W3CDTF">2026-07-05T06:10:22Z</dcterms:created>
  <dcterms:modified xsi:type="dcterms:W3CDTF">2026-07-05T06:18:48Z</dcterms:modified>
</cp:coreProperties>
</file>